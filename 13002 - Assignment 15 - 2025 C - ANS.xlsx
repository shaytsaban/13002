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OpenU 13002/2025C/"/>
    </mc:Choice>
  </mc:AlternateContent>
  <xr:revisionPtr revIDLastSave="18" documentId="8_{FF5360AE-FF30-D347-B4D9-9CD569C26D60}" xr6:coauthVersionLast="47" xr6:coauthVersionMax="47" xr10:uidLastSave="{C260614E-E6CD-B74E-9549-FE9097831335}"/>
  <bookViews>
    <workbookView xWindow="-21600" yWindow="1700" windowWidth="21600" windowHeight="14540" xr2:uid="{234E5066-31CA-3549-9780-7669131F1A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S26" i="1"/>
  <c r="D35" i="1"/>
  <c r="N26" i="1"/>
  <c r="N39" i="1"/>
  <c r="N32" i="1"/>
  <c r="I39" i="1"/>
  <c r="I32" i="1"/>
  <c r="D26" i="1"/>
</calcChain>
</file>

<file path=xl/sharedStrings.xml><?xml version="1.0" encoding="utf-8"?>
<sst xmlns="http://schemas.openxmlformats.org/spreadsheetml/2006/main" count="121" uniqueCount="95">
  <si>
    <t>פתרון מלא למטלה 15 - 13002 - סמסטר 2025ג</t>
  </si>
  <si>
    <t>פתרון מרוכז:</t>
  </si>
  <si>
    <t>שאלה</t>
  </si>
  <si>
    <t>תשובה</t>
  </si>
  <si>
    <t>פתרון מפורט:</t>
  </si>
  <si>
    <t>שאלה 1</t>
  </si>
  <si>
    <t>רווח נקי</t>
  </si>
  <si>
    <t>הוצאות פחת</t>
  </si>
  <si>
    <t>רווח מעליית ערך השקעות למסחר</t>
  </si>
  <si>
    <t>עלייה בלקוחות</t>
  </si>
  <si>
    <t>עלייה בספקים</t>
  </si>
  <si>
    <t>עלייה במלאי</t>
  </si>
  <si>
    <t>תזרים המזומנים מפעילות שוטפת</t>
  </si>
  <si>
    <t>א</t>
  </si>
  <si>
    <t>שאלה 2</t>
  </si>
  <si>
    <t>הפסד נקי</t>
  </si>
  <si>
    <t>ירידה בחייבים</t>
  </si>
  <si>
    <t>ירידה בזכאים</t>
  </si>
  <si>
    <t>רכישת רכוש קבוע</t>
  </si>
  <si>
    <t>תמורה ממכירת נדל״ן להשקעה</t>
  </si>
  <si>
    <t>תזרים המזומנים מפעילות השקעה</t>
  </si>
  <si>
    <t>לפיכך טענה 3 נכונה.</t>
  </si>
  <si>
    <t>נטילת הלוואות לזמן קצר</t>
  </si>
  <si>
    <t>נטילת הלוואות לזמן ארוך</t>
  </si>
  <si>
    <t>חלוקת דיבידנד במזומן</t>
  </si>
  <si>
    <t>תזרים המזומנים מפעילות מימון</t>
  </si>
  <si>
    <t xml:space="preserve">לפיכך טענה 4 שגויה. </t>
  </si>
  <si>
    <t xml:space="preserve">לפיכך טענה 1 נכונה ואילו טענה 2 שגויה. </t>
  </si>
  <si>
    <t>ג</t>
  </si>
  <si>
    <t>שאלה 3</t>
  </si>
  <si>
    <t>ירידה בלקוחות</t>
  </si>
  <si>
    <t>ירידה בספקים</t>
  </si>
  <si>
    <t>ירידת ערך נדל״ן להשקעה</t>
  </si>
  <si>
    <t>קניית מכונות וציוד במזומן</t>
  </si>
  <si>
    <t>ירידה בהלוואות לזמן קצר</t>
  </si>
  <si>
    <t>ירידה בהלוואות לזמן ארוך</t>
  </si>
  <si>
    <t>לפיכך טענה 1 שגויה.</t>
  </si>
  <si>
    <t xml:space="preserve">לפיכך טענה 2 שגויה. </t>
  </si>
  <si>
    <t xml:space="preserve">לפיכך טענה 3 נכונה, וטענה 4 שגויה. </t>
  </si>
  <si>
    <t>שאלה 4</t>
  </si>
  <si>
    <t>רווח מעליית ערך נדל״ן להשקעה</t>
  </si>
  <si>
    <t>שאלה 5</t>
  </si>
  <si>
    <t>טענה 1 שגויה: פחת מהווה התאמה לרווח ולא תוספת לתזרים</t>
  </si>
  <si>
    <t xml:space="preserve">בהיותו גודל לא תזרימי. עיינו בהדגמות במחברת בנושא. </t>
  </si>
  <si>
    <t xml:space="preserve">טענה 2 שגויה: מאותה ההנמקה. </t>
  </si>
  <si>
    <t>טענה  שגויה: ירידת ערך נדל״ן להשקעה יוצרת התאמה</t>
  </si>
  <si>
    <t xml:space="preserve">חיובית לרווח (ולא שלילית). </t>
  </si>
  <si>
    <t>ה</t>
  </si>
  <si>
    <t>שאלה 6</t>
  </si>
  <si>
    <t>טענה 1 שגויה: ירידת ערך נדל״ן היא התאמה לרווח ולא</t>
  </si>
  <si>
    <t xml:space="preserve">תזרים מזומנים חיובי. </t>
  </si>
  <si>
    <t>טענה 2: שגויה. מדובר בתזרים מפעילות השקעה.</t>
  </si>
  <si>
    <t>טענה 3: נכונה. לא יכול להירשם תזרים אם מזומן לא יצא</t>
  </si>
  <si>
    <t xml:space="preserve">מהחברה. </t>
  </si>
  <si>
    <t>שאלה 7</t>
  </si>
  <si>
    <t>ירידת ערך השקעות למסחר</t>
  </si>
  <si>
    <t>ד</t>
  </si>
  <si>
    <t>שאלה 8</t>
  </si>
  <si>
    <t>טענה ב נכונה לפי ההגדרה, מדובר בתזרים מימוני חיובי</t>
  </si>
  <si>
    <t>לאור כניסת המשאבים כתוצאה מגיוס הון מחיצוניים,</t>
  </si>
  <si>
    <t>קרי נטילת הלוואה.</t>
  </si>
  <si>
    <t>טענה ג שגויה, תזרימי מזומנים הנצרכים לטובת רכישת</t>
  </si>
  <si>
    <t>רכוש קבוע מהווים תזרימי מזומנים שליליים לפעילות</t>
  </si>
  <si>
    <t>השקעה, כמובן שהשקעה יכולה לשרת את החברה בשוטף,</t>
  </si>
  <si>
    <t xml:space="preserve">אין קשר לעניין זה. </t>
  </si>
  <si>
    <t>טענה ד שגויה, סילוק הלוואות מהווה תזרים שלילי</t>
  </si>
  <si>
    <t xml:space="preserve">לפעילות מימון. </t>
  </si>
  <si>
    <t>ב</t>
  </si>
  <si>
    <t>שאלה 9</t>
  </si>
  <si>
    <t>טענה א נכונה - תשלום לספקים בגין פירעון חוב אליהם</t>
  </si>
  <si>
    <t>מהווה תזרים שלילי לפעילות שוטפת שנכלל במסגרת</t>
  </si>
  <si>
    <t>ההתאמות לרווח בסימן שלילי הואיל ופירעון חוב ישן</t>
  </si>
  <si>
    <t xml:space="preserve">זה איננו נרשם כהוצאה בדוח רווח והפסד. </t>
  </si>
  <si>
    <t>טענה ב שגויה - ירידה בלקוחות תירשם דווקא כתזרים</t>
  </si>
  <si>
    <t>חיובי לאור ההשפעה התזרימית של האירוע (כמובן</t>
  </si>
  <si>
    <t>שתכלל במסגרת ההתאמות שכן התקבול הנ״ל לא נרשם</t>
  </si>
  <si>
    <t xml:space="preserve">בדוח רווח והפסד של שנת הדיווח). </t>
  </si>
  <si>
    <t>טענה ג שגויה - עלייה בלקוחות תירשם כהתאמה שלילית</t>
  </si>
  <si>
    <t>לרווח שהרי המזומן בגין ההכנסה שנוצרה מול הלקוחות</t>
  </si>
  <si>
    <t xml:space="preserve">טרם נגבה. </t>
  </si>
  <si>
    <t>טענה ד שגויה - הוצאות פחת הן התאמה חיובית לרווח</t>
  </si>
  <si>
    <t xml:space="preserve">שכן אינן במזומן. </t>
  </si>
  <si>
    <t>שאלה 10</t>
  </si>
  <si>
    <t>טענה א שגויה - השקעה איננה מעידה על חברה בדעיכה,</t>
  </si>
  <si>
    <t xml:space="preserve">במקרים רבים נהפוך הוא, השקעה מטרתה צמיחה. </t>
  </si>
  <si>
    <t>לא נצפה לתזרים חיובי תמיד, הניתוח צריך להיות</t>
  </si>
  <si>
    <t xml:space="preserve">מבוסס נסיבות </t>
  </si>
  <si>
    <t>טענה ב שגויה - מדובר בהתאמה שלילית לרווח על מנת</t>
  </si>
  <si>
    <t>לבטא את תזרימי המזומנים מפעילות שוטפת וזאת</t>
  </si>
  <si>
    <t>הואיל וכלל התזרים בגין מכירת הרכוש הקבוע כבר</t>
  </si>
  <si>
    <t>סווג לתזרימי מזומנים מפעילות השקעה.</t>
  </si>
  <si>
    <t>טענה ג שגויה - הסיווג של שינויים בהסדרי מימון אלו</t>
  </si>
  <si>
    <t>הוא לפעילות מימון.</t>
  </si>
  <si>
    <t>טענה ד שגויה - חלוקת דיבידנד היא תזרים שלילי, ולא</t>
  </si>
  <si>
    <t xml:space="preserve">חיובי, לפעילות מימון.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</si>
</sst>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David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7" fontId="1" fillId="0" borderId="0" xfId="0" applyNumberFormat="1" applyFont="1"/>
    <xf numFmtId="37" fontId="1" fillId="0" borderId="1" xfId="0" applyNumberFormat="1" applyFont="1" applyBorder="1"/>
    <xf numFmtId="0" fontId="1" fillId="2" borderId="0" xfId="0" applyFont="1" applyFill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8729-BB53-8D41-B9FB-86BA33703369}">
  <dimension ref="A1:S59"/>
  <sheetViews>
    <sheetView rightToLeft="1" tabSelected="1" topLeftCell="A3" zoomScale="180" workbookViewId="0">
      <selection activeCell="C5" sqref="C5:C15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</row>
    <row r="3" spans="1:2" x14ac:dyDescent="0.2">
      <c r="A3" s="1" t="s">
        <v>1</v>
      </c>
    </row>
    <row r="5" spans="1:2" x14ac:dyDescent="0.2">
      <c r="A5" s="5" t="s">
        <v>2</v>
      </c>
      <c r="B5" s="5" t="s">
        <v>3</v>
      </c>
    </row>
    <row r="6" spans="1:2" x14ac:dyDescent="0.2">
      <c r="A6" s="1">
        <v>1</v>
      </c>
      <c r="B6" s="1" t="s">
        <v>13</v>
      </c>
    </row>
    <row r="7" spans="1:2" x14ac:dyDescent="0.2">
      <c r="A7" s="1">
        <v>2</v>
      </c>
      <c r="B7" s="1" t="s">
        <v>28</v>
      </c>
    </row>
    <row r="8" spans="1:2" x14ac:dyDescent="0.2">
      <c r="A8" s="1">
        <v>3</v>
      </c>
      <c r="B8" s="1" t="s">
        <v>28</v>
      </c>
    </row>
    <row r="9" spans="1:2" x14ac:dyDescent="0.2">
      <c r="A9" s="1">
        <v>4</v>
      </c>
      <c r="B9" s="1" t="s">
        <v>28</v>
      </c>
    </row>
    <row r="10" spans="1:2" x14ac:dyDescent="0.2">
      <c r="A10" s="1">
        <v>5</v>
      </c>
      <c r="B10" s="1" t="s">
        <v>47</v>
      </c>
    </row>
    <row r="11" spans="1:2" x14ac:dyDescent="0.2">
      <c r="A11" s="1">
        <v>6</v>
      </c>
      <c r="B11" s="1" t="s">
        <v>28</v>
      </c>
    </row>
    <row r="12" spans="1:2" x14ac:dyDescent="0.2">
      <c r="A12" s="1">
        <v>7</v>
      </c>
      <c r="B12" s="1" t="s">
        <v>56</v>
      </c>
    </row>
    <row r="13" spans="1:2" x14ac:dyDescent="0.2">
      <c r="A13" s="1">
        <v>8</v>
      </c>
      <c r="B13" s="1" t="s">
        <v>67</v>
      </c>
    </row>
    <row r="14" spans="1:2" x14ac:dyDescent="0.2">
      <c r="A14" s="1">
        <v>9</v>
      </c>
      <c r="B14" s="1" t="s">
        <v>13</v>
      </c>
    </row>
    <row r="15" spans="1:2" x14ac:dyDescent="0.2">
      <c r="A15" s="1">
        <v>10</v>
      </c>
      <c r="B15" s="1" t="s">
        <v>47</v>
      </c>
    </row>
    <row r="17" spans="1:19" x14ac:dyDescent="0.2">
      <c r="A17" s="1" t="s">
        <v>4</v>
      </c>
    </row>
    <row r="19" spans="1:19" x14ac:dyDescent="0.2">
      <c r="A19" s="4" t="s">
        <v>5</v>
      </c>
      <c r="B19" s="4"/>
      <c r="C19" s="4"/>
      <c r="D19" s="4"/>
      <c r="F19" s="4" t="s">
        <v>14</v>
      </c>
      <c r="G19" s="4"/>
      <c r="H19" s="4"/>
      <c r="I19" s="4"/>
      <c r="K19" s="4" t="s">
        <v>29</v>
      </c>
      <c r="L19" s="4"/>
      <c r="M19" s="4"/>
      <c r="N19" s="4"/>
      <c r="P19" s="4" t="s">
        <v>54</v>
      </c>
      <c r="Q19" s="4"/>
      <c r="R19" s="4"/>
      <c r="S19" s="4"/>
    </row>
    <row r="20" spans="1:19" x14ac:dyDescent="0.2">
      <c r="A20" s="1" t="s">
        <v>6</v>
      </c>
      <c r="D20" s="2">
        <v>500000</v>
      </c>
      <c r="F20" s="1" t="s">
        <v>15</v>
      </c>
      <c r="I20" s="2">
        <v>-90000</v>
      </c>
      <c r="K20" s="1" t="s">
        <v>6</v>
      </c>
      <c r="N20" s="2">
        <v>540000</v>
      </c>
      <c r="P20" s="1" t="s">
        <v>6</v>
      </c>
      <c r="S20" s="2">
        <v>120000</v>
      </c>
    </row>
    <row r="21" spans="1:19" x14ac:dyDescent="0.2">
      <c r="A21" s="1" t="s">
        <v>7</v>
      </c>
      <c r="D21" s="2">
        <v>40000</v>
      </c>
      <c r="F21" s="1" t="s">
        <v>9</v>
      </c>
      <c r="I21" s="2">
        <v>-23000</v>
      </c>
      <c r="K21" s="1" t="s">
        <v>30</v>
      </c>
      <c r="N21" s="2">
        <v>88000</v>
      </c>
      <c r="P21" s="1" t="s">
        <v>9</v>
      </c>
      <c r="S21" s="2">
        <v>-21000</v>
      </c>
    </row>
    <row r="22" spans="1:19" x14ac:dyDescent="0.2">
      <c r="A22" s="1" t="s">
        <v>8</v>
      </c>
      <c r="D22" s="2">
        <v>-44000</v>
      </c>
      <c r="F22" s="1" t="s">
        <v>16</v>
      </c>
      <c r="I22" s="2">
        <v>18000</v>
      </c>
      <c r="K22" s="1" t="s">
        <v>7</v>
      </c>
      <c r="N22" s="2">
        <v>94000</v>
      </c>
      <c r="P22" s="1" t="s">
        <v>10</v>
      </c>
      <c r="S22" s="2">
        <v>14000</v>
      </c>
    </row>
    <row r="23" spans="1:19" x14ac:dyDescent="0.2">
      <c r="A23" s="1" t="s">
        <v>9</v>
      </c>
      <c r="D23" s="2">
        <v>-34000</v>
      </c>
      <c r="F23" s="1" t="s">
        <v>17</v>
      </c>
      <c r="I23" s="2">
        <v>-19000</v>
      </c>
      <c r="K23" s="1" t="s">
        <v>31</v>
      </c>
      <c r="N23" s="2">
        <v>-14000</v>
      </c>
      <c r="P23" s="1" t="s">
        <v>7</v>
      </c>
      <c r="S23" s="2">
        <v>17000</v>
      </c>
    </row>
    <row r="24" spans="1:19" x14ac:dyDescent="0.2">
      <c r="A24" s="1" t="s">
        <v>10</v>
      </c>
      <c r="D24" s="2">
        <v>28000</v>
      </c>
      <c r="F24" s="1" t="s">
        <v>10</v>
      </c>
      <c r="I24" s="2">
        <v>28000</v>
      </c>
      <c r="K24" s="1" t="s">
        <v>32</v>
      </c>
      <c r="N24" s="2">
        <v>12000</v>
      </c>
      <c r="P24" s="1" t="s">
        <v>55</v>
      </c>
      <c r="S24" s="2">
        <v>14000</v>
      </c>
    </row>
    <row r="25" spans="1:19" x14ac:dyDescent="0.2">
      <c r="A25" s="1" t="s">
        <v>11</v>
      </c>
      <c r="D25" s="2">
        <v>-33000</v>
      </c>
      <c r="F25" s="1" t="s">
        <v>7</v>
      </c>
      <c r="I25" s="2">
        <v>50000</v>
      </c>
      <c r="N25" s="2"/>
      <c r="S25" s="2"/>
    </row>
    <row r="26" spans="1:19" x14ac:dyDescent="0.2">
      <c r="A26" s="1" t="s">
        <v>12</v>
      </c>
      <c r="D26" s="3">
        <f>SUM(D20:D25)</f>
        <v>457000</v>
      </c>
      <c r="F26" s="1" t="s">
        <v>12</v>
      </c>
      <c r="I26" s="3">
        <f>SUM(I20:I25)</f>
        <v>-36000</v>
      </c>
      <c r="K26" s="1" t="s">
        <v>12</v>
      </c>
      <c r="N26" s="3">
        <f>SUM(N20:N25)</f>
        <v>720000</v>
      </c>
      <c r="P26" s="1" t="s">
        <v>12</v>
      </c>
      <c r="S26" s="3">
        <f>SUM(S20:S25)</f>
        <v>144000</v>
      </c>
    </row>
    <row r="28" spans="1:19" x14ac:dyDescent="0.2">
      <c r="A28" s="4" t="s">
        <v>39</v>
      </c>
      <c r="B28" s="4"/>
      <c r="C28" s="4"/>
      <c r="D28" s="4"/>
      <c r="F28" s="1" t="s">
        <v>27</v>
      </c>
      <c r="K28" s="1" t="s">
        <v>38</v>
      </c>
      <c r="P28" s="4" t="s">
        <v>57</v>
      </c>
      <c r="Q28" s="4"/>
      <c r="R28" s="4"/>
      <c r="S28" s="4"/>
    </row>
    <row r="29" spans="1:19" x14ac:dyDescent="0.2">
      <c r="A29" s="1" t="s">
        <v>6</v>
      </c>
      <c r="D29" s="2">
        <v>500000</v>
      </c>
      <c r="P29" s="1" t="s">
        <v>58</v>
      </c>
    </row>
    <row r="30" spans="1:19" x14ac:dyDescent="0.2">
      <c r="A30" s="1" t="s">
        <v>7</v>
      </c>
      <c r="D30" s="2">
        <v>6000</v>
      </c>
      <c r="F30" s="1" t="s">
        <v>18</v>
      </c>
      <c r="I30" s="2">
        <v>-23000</v>
      </c>
      <c r="K30" s="1" t="s">
        <v>33</v>
      </c>
      <c r="N30" s="2">
        <v>-4000</v>
      </c>
      <c r="P30" s="1" t="s">
        <v>59</v>
      </c>
      <c r="S30" s="2"/>
    </row>
    <row r="31" spans="1:19" x14ac:dyDescent="0.2">
      <c r="A31" s="1" t="s">
        <v>9</v>
      </c>
      <c r="D31" s="2">
        <v>-12000</v>
      </c>
      <c r="F31" s="1" t="s">
        <v>19</v>
      </c>
      <c r="I31" s="2">
        <v>90000</v>
      </c>
      <c r="N31" s="2"/>
      <c r="P31" s="1" t="s">
        <v>60</v>
      </c>
      <c r="S31" s="2"/>
    </row>
    <row r="32" spans="1:19" x14ac:dyDescent="0.2">
      <c r="A32" s="1" t="s">
        <v>16</v>
      </c>
      <c r="D32" s="2">
        <v>7000</v>
      </c>
      <c r="F32" s="1" t="s">
        <v>20</v>
      </c>
      <c r="I32" s="3">
        <f>SUM(I30:I31)</f>
        <v>67000</v>
      </c>
      <c r="K32" s="1" t="s">
        <v>20</v>
      </c>
      <c r="N32" s="3">
        <f>SUM(N30:N31)</f>
        <v>-4000</v>
      </c>
    </row>
    <row r="33" spans="1:19" x14ac:dyDescent="0.2">
      <c r="A33" s="1" t="s">
        <v>40</v>
      </c>
      <c r="D33" s="2">
        <v>-9000</v>
      </c>
      <c r="P33" s="1" t="s">
        <v>61</v>
      </c>
    </row>
    <row r="34" spans="1:19" x14ac:dyDescent="0.2">
      <c r="A34" s="1" t="s">
        <v>31</v>
      </c>
      <c r="D34" s="2">
        <v>-3000</v>
      </c>
      <c r="F34" s="1" t="s">
        <v>21</v>
      </c>
      <c r="K34" s="1" t="s">
        <v>37</v>
      </c>
      <c r="P34" s="1" t="s">
        <v>62</v>
      </c>
    </row>
    <row r="35" spans="1:19" x14ac:dyDescent="0.2">
      <c r="A35" s="1" t="s">
        <v>12</v>
      </c>
      <c r="D35" s="3">
        <f>SUM(D29:D34)</f>
        <v>489000</v>
      </c>
      <c r="P35" s="1" t="s">
        <v>63</v>
      </c>
    </row>
    <row r="36" spans="1:19" x14ac:dyDescent="0.2">
      <c r="F36" s="1" t="s">
        <v>22</v>
      </c>
      <c r="I36" s="2">
        <v>33000</v>
      </c>
      <c r="K36" s="1" t="s">
        <v>34</v>
      </c>
      <c r="N36" s="2">
        <v>-5000</v>
      </c>
      <c r="P36" s="1" t="s">
        <v>64</v>
      </c>
      <c r="S36" s="2"/>
    </row>
    <row r="37" spans="1:19" x14ac:dyDescent="0.2">
      <c r="A37" s="4" t="s">
        <v>41</v>
      </c>
      <c r="B37" s="4"/>
      <c r="C37" s="4"/>
      <c r="D37" s="4"/>
      <c r="F37" s="1" t="s">
        <v>23</v>
      </c>
      <c r="I37" s="2">
        <v>44000</v>
      </c>
      <c r="K37" s="1" t="s">
        <v>35</v>
      </c>
      <c r="N37" s="2">
        <v>-15000</v>
      </c>
      <c r="S37" s="2"/>
    </row>
    <row r="38" spans="1:19" x14ac:dyDescent="0.2">
      <c r="A38" s="1" t="s">
        <v>42</v>
      </c>
      <c r="F38" s="1" t="s">
        <v>24</v>
      </c>
      <c r="I38" s="2">
        <v>-29000</v>
      </c>
      <c r="K38" s="1" t="s">
        <v>24</v>
      </c>
      <c r="N38" s="2"/>
      <c r="P38" s="1" t="s">
        <v>65</v>
      </c>
      <c r="S38" s="2"/>
    </row>
    <row r="39" spans="1:19" x14ac:dyDescent="0.2">
      <c r="A39" s="1" t="s">
        <v>43</v>
      </c>
      <c r="F39" s="1" t="s">
        <v>25</v>
      </c>
      <c r="I39" s="3">
        <f>SUM(I36:I38)</f>
        <v>48000</v>
      </c>
      <c r="K39" s="1" t="s">
        <v>25</v>
      </c>
      <c r="N39" s="3">
        <f>SUM(N36:N38)</f>
        <v>-20000</v>
      </c>
      <c r="P39" s="1" t="s">
        <v>66</v>
      </c>
    </row>
    <row r="40" spans="1:19" x14ac:dyDescent="0.2">
      <c r="A40" s="1" t="s">
        <v>44</v>
      </c>
    </row>
    <row r="41" spans="1:19" x14ac:dyDescent="0.2">
      <c r="A41" s="1" t="s">
        <v>45</v>
      </c>
      <c r="F41" s="1" t="s">
        <v>26</v>
      </c>
      <c r="K41" s="1" t="s">
        <v>36</v>
      </c>
    </row>
    <row r="42" spans="1:19" x14ac:dyDescent="0.2">
      <c r="A42" s="1" t="s">
        <v>46</v>
      </c>
    </row>
    <row r="44" spans="1:19" x14ac:dyDescent="0.2">
      <c r="A44" s="4" t="s">
        <v>48</v>
      </c>
      <c r="B44" s="4"/>
      <c r="C44" s="4"/>
      <c r="D44" s="4"/>
      <c r="F44" s="4" t="s">
        <v>68</v>
      </c>
      <c r="G44" s="4"/>
      <c r="H44" s="4"/>
      <c r="I44" s="4"/>
      <c r="K44" s="4" t="s">
        <v>82</v>
      </c>
      <c r="L44" s="4"/>
      <c r="M44" s="4"/>
      <c r="N44" s="4"/>
    </row>
    <row r="45" spans="1:19" x14ac:dyDescent="0.2">
      <c r="A45" s="1" t="s">
        <v>49</v>
      </c>
      <c r="F45" s="1" t="s">
        <v>69</v>
      </c>
      <c r="K45" s="1" t="s">
        <v>83</v>
      </c>
    </row>
    <row r="46" spans="1:19" x14ac:dyDescent="0.2">
      <c r="A46" s="1" t="s">
        <v>50</v>
      </c>
      <c r="F46" s="1" t="s">
        <v>70</v>
      </c>
      <c r="K46" s="1" t="s">
        <v>84</v>
      </c>
    </row>
    <row r="47" spans="1:19" x14ac:dyDescent="0.2">
      <c r="A47" s="1" t="s">
        <v>51</v>
      </c>
      <c r="F47" s="1" t="s">
        <v>71</v>
      </c>
      <c r="K47" s="1" t="s">
        <v>85</v>
      </c>
    </row>
    <row r="48" spans="1:19" x14ac:dyDescent="0.2">
      <c r="A48" s="1" t="s">
        <v>52</v>
      </c>
      <c r="F48" s="1" t="s">
        <v>72</v>
      </c>
      <c r="K48" s="1" t="s">
        <v>86</v>
      </c>
    </row>
    <row r="49" spans="1:11" x14ac:dyDescent="0.2">
      <c r="A49" s="1" t="s">
        <v>53</v>
      </c>
      <c r="F49" s="1" t="s">
        <v>73</v>
      </c>
    </row>
    <row r="50" spans="1:11" x14ac:dyDescent="0.2">
      <c r="F50" s="1" t="s">
        <v>74</v>
      </c>
      <c r="K50" s="1" t="s">
        <v>87</v>
      </c>
    </row>
    <row r="51" spans="1:11" x14ac:dyDescent="0.2">
      <c r="F51" s="1" t="s">
        <v>75</v>
      </c>
      <c r="K51" s="1" t="s">
        <v>88</v>
      </c>
    </row>
    <row r="52" spans="1:11" x14ac:dyDescent="0.2">
      <c r="F52" s="1" t="s">
        <v>76</v>
      </c>
      <c r="K52" s="1" t="s">
        <v>89</v>
      </c>
    </row>
    <row r="53" spans="1:11" x14ac:dyDescent="0.2">
      <c r="F53" s="1" t="s">
        <v>77</v>
      </c>
      <c r="K53" s="1" t="s">
        <v>90</v>
      </c>
    </row>
    <row r="54" spans="1:11" x14ac:dyDescent="0.2">
      <c r="F54" s="1" t="s">
        <v>78</v>
      </c>
    </row>
    <row r="55" spans="1:11" x14ac:dyDescent="0.2">
      <c r="F55" s="1" t="s">
        <v>79</v>
      </c>
      <c r="K55" s="1" t="s">
        <v>91</v>
      </c>
    </row>
    <row r="56" spans="1:11" x14ac:dyDescent="0.2">
      <c r="F56" s="1" t="s">
        <v>80</v>
      </c>
      <c r="K56" s="1" t="s">
        <v>92</v>
      </c>
    </row>
    <row r="57" spans="1:11" x14ac:dyDescent="0.2">
      <c r="F57" s="1" t="s">
        <v>81</v>
      </c>
    </row>
    <row r="58" spans="1:11" x14ac:dyDescent="0.2">
      <c r="K58" s="1" t="s">
        <v>93</v>
      </c>
    </row>
    <row r="59" spans="1:11" x14ac:dyDescent="0.2">
      <c r="K59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2025-09-20T18:17:45Z</dcterms:created>
  <dcterms:modified xsi:type="dcterms:W3CDTF">2025-09-20T18:48:22Z</dcterms:modified>
</cp:coreProperties>
</file>